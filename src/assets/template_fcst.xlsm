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20689e5ef9914b99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SAPWorkbook" defaultThemeVersion="166925"/>
  <mc:AlternateContent xmlns:mc="http://schemas.openxmlformats.org/markup-compatibility/2006">
    <mc:Choice Requires="x15">
      <x15ac:absPath xmlns:x15ac="http://schemas.microsoft.com/office/spreadsheetml/2010/11/ac" url="C:\_WORK\_VBA\Forecast&amp;Budget\"/>
    </mc:Choice>
  </mc:AlternateContent>
  <xr:revisionPtr revIDLastSave="0" documentId="13_ncr:1_{5361FAC8-3A13-4457-8E45-51725C62951D}" xr6:coauthVersionLast="47" xr6:coauthVersionMax="47" xr10:uidLastSave="{00000000-0000-0000-0000-000000000000}"/>
  <bookViews>
    <workbookView xWindow="-120" yWindow="-120" windowWidth="29040" windowHeight="15720" tabRatio="631" xr2:uid="{8C1C4150-1968-4D94-8459-F92FA904DEED}"/>
  </bookViews>
  <sheets>
    <sheet name="FCST CLIENTI" sheetId="22" r:id="rId1"/>
  </sheets>
  <functionGroups builtInGroupCount="19"/>
  <externalReferences>
    <externalReference r:id="rId2"/>
  </externalReferences>
  <definedNames>
    <definedName name="Solution12">'[1]OFFER-SOLUTION'!$M$44+'[1]OFFER-SOLUTION'!$M$45:$M$47</definedName>
    <definedName name="Solution77">'[1]OFFER-SOLUTION'!$BY$37+'[1]OFFER-SOLUTION'!$BZ$45:$BZ$46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1" i="22" l="1"/>
  <c r="BK1" i="22"/>
  <c r="CO1" i="22"/>
  <c r="DJ1" i="22"/>
  <c r="AC1" i="22"/>
  <c r="CI1" i="22"/>
  <c r="DI1" i="22"/>
  <c r="DH1" i="22"/>
  <c r="DG1" i="22"/>
  <c r="DD1" i="22"/>
  <c r="DC1" i="22"/>
  <c r="DB1" i="22"/>
  <c r="DA1" i="22"/>
  <c r="CZ1" i="22"/>
  <c r="CY1" i="22"/>
  <c r="CX1" i="22"/>
  <c r="CW1" i="22"/>
  <c r="CV1" i="22"/>
  <c r="CU1" i="22"/>
  <c r="CT1" i="22"/>
  <c r="CS1" i="22"/>
  <c r="CR1" i="22"/>
  <c r="BP1" i="22"/>
  <c r="BO1" i="22"/>
  <c r="BM1" i="22"/>
  <c r="BJ1" i="22"/>
  <c r="BH1" i="22"/>
  <c r="BG1" i="22"/>
  <c r="BE1" i="22"/>
  <c r="BC1" i="22"/>
  <c r="BB1" i="22"/>
  <c r="BA1" i="22"/>
  <c r="AZ1" i="22"/>
  <c r="AY1" i="22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B1" i="22"/>
  <c r="AA1" i="22"/>
  <c r="V1" i="22"/>
  <c r="R1" i="22"/>
  <c r="BF1" i="22" l="1"/>
  <c r="BN1" i="22"/>
  <c r="BI1" i="22"/>
  <c r="BL1" i="22"/>
  <c r="CM1" i="22"/>
  <c r="CP1" i="22"/>
  <c r="CC1" i="22" s="1"/>
  <c r="CN1" i="22"/>
  <c r="BZ1" i="22"/>
  <c r="CB1" i="22"/>
  <c r="BV1" i="22"/>
  <c r="CA1" i="22" l="1"/>
  <c r="DK1" i="22"/>
  <c r="CK1" i="22"/>
  <c r="BX1" i="22" s="1"/>
  <c r="CG1" i="22"/>
  <c r="BT1" i="22" s="1"/>
  <c r="CF1" i="22"/>
  <c r="BS1" i="22" s="1"/>
  <c r="CL1" i="22"/>
  <c r="BY1" i="22" s="1"/>
  <c r="CE1" i="22"/>
  <c r="BR1" i="22" s="1"/>
  <c r="BQ1" i="22"/>
  <c r="CJ1" i="22"/>
  <c r="BW1" i="22" s="1"/>
  <c r="CH1" i="22"/>
  <c r="BU1" i="22" s="1"/>
  <c r="CQ1" i="22" l="1"/>
  <c r="CD1" i="22" s="1"/>
</calcChain>
</file>

<file path=xl/sharedStrings.xml><?xml version="1.0" encoding="utf-8"?>
<sst xmlns="http://schemas.openxmlformats.org/spreadsheetml/2006/main" count="121" uniqueCount="58">
  <si>
    <t>RICAVI LORDI</t>
  </si>
  <si>
    <t>RICAVI NETTI</t>
  </si>
  <si>
    <t>MARGINE DIRETTO</t>
  </si>
  <si>
    <t>COSTI</t>
  </si>
  <si>
    <t>ACCOUNT UNIT</t>
  </si>
  <si>
    <t>NUOVO CLIENTE</t>
  </si>
  <si>
    <t>TIPOLOGIA</t>
  </si>
  <si>
    <t>OFFERLINE</t>
  </si>
  <si>
    <t>COSTI DI RIVENDITA</t>
  </si>
  <si>
    <t>MARGINE PERCENTUALE</t>
  </si>
  <si>
    <t>MIU</t>
  </si>
  <si>
    <t>COUNTRY</t>
  </si>
  <si>
    <t>SOCIETA' CHE FATTURA AL CLIENTE</t>
  </si>
  <si>
    <t>CLIENTE</t>
  </si>
  <si>
    <t>AGGREGATO CUSTOMER</t>
  </si>
  <si>
    <t>CLIENTE FATTURAZIONE</t>
  </si>
  <si>
    <t>ACCOUNT MANAGER</t>
  </si>
  <si>
    <t>DIGITAL FACTORY</t>
  </si>
  <si>
    <t>SOLUTION LINE</t>
  </si>
  <si>
    <t>BUDGET ITEM</t>
  </si>
  <si>
    <t>COD COMMESSA</t>
  </si>
  <si>
    <t>DESCRIZIONE</t>
  </si>
  <si>
    <t>BACKLOG</t>
  </si>
  <si>
    <t>ORDINATO DA ACQUISIRE</t>
  </si>
  <si>
    <t>gen</t>
  </si>
  <si>
    <t>feb</t>
  </si>
  <si>
    <t>mar</t>
  </si>
  <si>
    <t>apr</t>
  </si>
  <si>
    <t>mag</t>
  </si>
  <si>
    <t>giu</t>
  </si>
  <si>
    <t>lug</t>
  </si>
  <si>
    <t>ago</t>
  </si>
  <si>
    <t>set</t>
  </si>
  <si>
    <t>ott</t>
  </si>
  <si>
    <t>nov</t>
  </si>
  <si>
    <t>dic</t>
  </si>
  <si>
    <t>TOTALE</t>
  </si>
  <si>
    <t>sett</t>
  </si>
  <si>
    <t>MARGINE MEDIO</t>
  </si>
  <si>
    <t>CHECK</t>
  </si>
  <si>
    <t>Q1</t>
  </si>
  <si>
    <t>Q2</t>
  </si>
  <si>
    <t>Q3</t>
  </si>
  <si>
    <t>Q4</t>
  </si>
  <si>
    <t>FY</t>
  </si>
  <si>
    <t>PROBABILITA' SUCCESSO OPPORTUNITA'</t>
  </si>
  <si>
    <t>RICAVI PESATI OPPORTUNITA'</t>
  </si>
  <si>
    <t>COD OPPORTUNITA'</t>
  </si>
  <si>
    <t>QUOTA RICAVI FCST(ESERCIZI SUCCESSIVI)</t>
  </si>
  <si>
    <t>IMPORTO OPPORTUNITA'</t>
  </si>
  <si>
    <t>START DATE OPPORTUNITA'</t>
  </si>
  <si>
    <t>END DATE OPPORTUNITA'</t>
  </si>
  <si>
    <t>FONTE</t>
  </si>
  <si>
    <t>STATO OPPORTUNITA'</t>
  </si>
  <si>
    <t>COSTI RIVENDITA ESTERNO</t>
  </si>
  <si>
    <t>QUOTA RICAVI FCST</t>
  </si>
  <si>
    <t>QUOTA RICAVI FCST(%)</t>
  </si>
  <si>
    <t>QUOTA RICAVI FCST(ESERCIZI PRECEDENTI)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</si>
</sst>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[$-410]d\-mmm;@"/>
    <numFmt numFmtId="165" formatCode="0.0%"/>
    <numFmt numFmtId="166" formatCode="_(&quot;€&quot;* #,##0.00_);_(&quot;€&quot;* \(#,##0.00\);_(&quot;€&quot;* &quot;-&quot;??_);_(@_)"/>
    <numFmt numFmtId="167" formatCode="#,##0.0"/>
    <numFmt numFmtId="168" formatCode="#,##0.0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</font>
    <font>
      <b/>
      <sz val="13"/>
      <color theme="0"/>
      <name val="Calibri"/>
      <family val="2"/>
    </font>
    <font>
      <b/>
      <sz val="13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3"/>
      <name val="Calibri"/>
      <family val="2"/>
    </font>
    <font>
      <b/>
      <sz val="12"/>
      <color rgb="FFFF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9"/>
      </patternFill>
    </fill>
    <fill>
      <patternFill patternType="solid">
        <fgColor indexed="43"/>
        <bgColor indexed="64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rgb="FF00B0F0"/>
        <bgColor indexed="22"/>
      </patternFill>
    </fill>
    <fill>
      <patternFill patternType="solid">
        <fgColor rgb="FF00B0F0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rgb="FF1F497D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/>
    <xf numFmtId="166" fontId="1" fillId="0" borderId="0" applyFont="0" applyFill="0" applyBorder="0" applyAlignment="0" applyProtection="0"/>
    <xf numFmtId="4" fontId="3" fillId="3" borderId="2" applyNumberFormat="0" applyProtection="0">
      <alignment horizontal="left" vertical="center" indent="1"/>
    </xf>
    <xf numFmtId="4" fontId="3" fillId="4" borderId="2" applyNumberFormat="0" applyProtection="0">
      <alignment horizontal="left" vertical="center" indent="1"/>
    </xf>
    <xf numFmtId="0" fontId="3" fillId="5" borderId="3" applyNumberFormat="0" applyProtection="0">
      <alignment horizontal="left" vertical="top" indent="1"/>
    </xf>
    <xf numFmtId="0" fontId="3" fillId="6" borderId="3" applyNumberFormat="0" applyProtection="0">
      <alignment horizontal="left" vertical="top" indent="1"/>
    </xf>
    <xf numFmtId="4" fontId="3" fillId="3" borderId="2" applyNumberFormat="0" applyProtection="0">
      <alignment horizontal="left" vertical="center" indent="1"/>
    </xf>
    <xf numFmtId="4" fontId="3" fillId="7" borderId="2" applyNumberFormat="0" applyProtection="0">
      <alignment vertical="center"/>
    </xf>
    <xf numFmtId="4" fontId="3" fillId="0" borderId="2" applyNumberFormat="0" applyProtection="0">
      <alignment horizontal="right" vertical="center"/>
    </xf>
    <xf numFmtId="0" fontId="3" fillId="8" borderId="2" applyNumberFormat="0" applyProtection="0">
      <alignment horizontal="left" vertical="center" indent="1"/>
    </xf>
    <xf numFmtId="0" fontId="7" fillId="11" borderId="0" applyNumberFormat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5" fillId="0" borderId="0"/>
    <xf numFmtId="44" fontId="1" fillId="0" borderId="0" applyFont="0" applyFill="0" applyBorder="0" applyAlignment="0" applyProtection="0"/>
  </cellStyleXfs>
  <cellXfs count="53">
    <xf numFmtId="0" fontId="0" fillId="0" borderId="0" xfId="0"/>
    <xf numFmtId="0" fontId="0" fillId="2" borderId="0" xfId="0" applyFill="1"/>
    <xf numFmtId="0" fontId="2" fillId="0" borderId="0" xfId="0" applyFont="1"/>
    <xf numFmtId="0" fontId="2" fillId="2" borderId="0" xfId="0" applyFont="1" applyFill="1"/>
    <xf numFmtId="0" fontId="2" fillId="2" borderId="0" xfId="0" quotePrefix="1" applyFont="1" applyFill="1"/>
    <xf numFmtId="0" fontId="0" fillId="2" borderId="0" xfId="0" quotePrefix="1" applyFill="1"/>
    <xf numFmtId="0" fontId="10" fillId="2" borderId="0" xfId="0" applyFont="1" applyFill="1"/>
    <xf numFmtId="0" fontId="10" fillId="0" borderId="0" xfId="0" applyFont="1"/>
    <xf numFmtId="0" fontId="10" fillId="0" borderId="0" xfId="0" applyFont="1" applyAlignment="1">
      <alignment horizontal="center" vertical="center" wrapText="1"/>
    </xf>
    <xf numFmtId="0" fontId="10" fillId="14" borderId="18" xfId="0" applyFont="1" applyFill="1" applyBorder="1" applyAlignment="1">
      <alignment horizontal="center"/>
    </xf>
    <xf numFmtId="0" fontId="10" fillId="14" borderId="18" xfId="0" applyFont="1" applyFill="1" applyBorder="1"/>
    <xf numFmtId="0" fontId="13" fillId="15" borderId="18" xfId="0" applyFont="1" applyFill="1" applyBorder="1" applyAlignment="1">
      <alignment horizontal="center" vertical="center"/>
    </xf>
    <xf numFmtId="0" fontId="14" fillId="0" borderId="18" xfId="0" applyFont="1" applyBorder="1"/>
    <xf numFmtId="0" fontId="14" fillId="0" borderId="18" xfId="0" applyFont="1" applyBorder="1" applyAlignment="1">
      <alignment wrapText="1"/>
    </xf>
    <xf numFmtId="0" fontId="14" fillId="0" borderId="18" xfId="0" applyFont="1" applyBorder="1" applyAlignment="1">
      <alignment horizontal="center" wrapText="1"/>
    </xf>
    <xf numFmtId="0" fontId="5" fillId="9" borderId="18" xfId="1" applyNumberFormat="1" applyFont="1" applyFill="1" applyBorder="1" applyAlignment="1" applyProtection="1">
      <alignment horizontal="center" vertical="center"/>
    </xf>
    <xf numFmtId="0" fontId="0" fillId="2" borderId="0" xfId="2" applyNumberFormat="1" applyFont="1" applyFill="1"/>
    <xf numFmtId="0" fontId="0" fillId="0" borderId="0" xfId="1" applyNumberFormat="1" applyFont="1"/>
    <xf numFmtId="0" fontId="12" fillId="10" borderId="18" xfId="0" applyFont="1" applyFill="1" applyBorder="1" applyAlignment="1">
      <alignment horizontal="center" vertical="center" wrapText="1"/>
    </xf>
    <xf numFmtId="0" fontId="4" fillId="9" borderId="18" xfId="0" applyFont="1" applyFill="1" applyBorder="1" applyAlignment="1">
      <alignment horizontal="center" vertical="center" wrapText="1"/>
    </xf>
    <xf numFmtId="0" fontId="4" fillId="9" borderId="18" xfId="1" applyNumberFormat="1" applyFont="1" applyFill="1" applyBorder="1" applyAlignment="1" applyProtection="1">
      <alignment horizontal="center" vertical="center" wrapText="1"/>
    </xf>
    <xf numFmtId="167" fontId="5" fillId="9" borderId="18" xfId="1" applyNumberFormat="1" applyFont="1" applyFill="1" applyBorder="1" applyAlignment="1" applyProtection="1">
      <alignment horizontal="center" vertical="center"/>
    </xf>
    <xf numFmtId="165" fontId="2" fillId="2" borderId="0" xfId="2" applyNumberFormat="1" applyFont="1" applyFill="1"/>
    <xf numFmtId="165" fontId="2" fillId="0" borderId="0" xfId="2" applyNumberFormat="1" applyFont="1" applyFill="1"/>
    <xf numFmtId="0" fontId="0" fillId="0" borderId="18" xfId="0" applyBorder="1" applyAlignment="1">
      <alignment wrapText="1"/>
    </xf>
    <xf numFmtId="4" fontId="10" fillId="14" borderId="18" xfId="0" applyNumberFormat="1" applyFont="1" applyFill="1" applyBorder="1" applyAlignment="1">
      <alignment horizontal="center"/>
    </xf>
    <xf numFmtId="10" fontId="10" fillId="14" borderId="18" xfId="2" applyNumberFormat="1" applyFont="1" applyFill="1" applyBorder="1" applyAlignment="1">
      <alignment horizontal="center"/>
    </xf>
    <xf numFmtId="4" fontId="6" fillId="9" borderId="18" xfId="1" applyNumberFormat="1" applyFont="1" applyFill="1" applyBorder="1" applyAlignment="1" applyProtection="1">
      <alignment horizontal="center" vertical="center"/>
    </xf>
    <xf numFmtId="4" fontId="0" fillId="0" borderId="18" xfId="0" applyNumberFormat="1" applyBorder="1" applyAlignment="1">
      <alignment wrapText="1"/>
    </xf>
    <xf numFmtId="4" fontId="5" fillId="9" borderId="18" xfId="1" applyNumberFormat="1" applyFont="1" applyFill="1" applyBorder="1" applyAlignment="1" applyProtection="1">
      <alignment horizontal="center" vertical="center"/>
    </xf>
    <xf numFmtId="10" fontId="0" fillId="2" borderId="18" xfId="0" applyNumberFormat="1" applyFill="1" applyBorder="1"/>
    <xf numFmtId="4" fontId="0" fillId="0" borderId="18" xfId="0" applyNumberFormat="1" applyBorder="1"/>
    <xf numFmtId="168" fontId="5" fillId="9" borderId="18" xfId="2" applyNumberFormat="1" applyFont="1" applyFill="1" applyBorder="1" applyAlignment="1" applyProtection="1">
      <alignment horizontal="center" vertical="center"/>
    </xf>
    <xf numFmtId="4" fontId="14" fillId="0" borderId="18" xfId="0" applyNumberFormat="1" applyFont="1" applyBorder="1"/>
    <xf numFmtId="168" fontId="14" fillId="0" borderId="18" xfId="2" applyNumberFormat="1" applyFont="1" applyBorder="1" applyAlignment="1">
      <alignment horizontal="center" wrapText="1"/>
    </xf>
    <xf numFmtId="0" fontId="8" fillId="12" borderId="9" xfId="13" applyNumberFormat="1" applyFont="1" applyFill="1" applyBorder="1" applyAlignment="1">
      <alignment horizontal="center" vertical="center" wrapText="1"/>
    </xf>
    <xf numFmtId="0" fontId="8" fillId="12" borderId="18" xfId="13" applyNumberFormat="1" applyFont="1" applyFill="1" applyBorder="1" applyAlignment="1">
      <alignment horizontal="center" vertical="center" wrapText="1"/>
    </xf>
    <xf numFmtId="0" fontId="8" fillId="12" borderId="10" xfId="13" applyNumberFormat="1" applyFont="1" applyFill="1" applyBorder="1" applyAlignment="1">
      <alignment horizontal="center" vertical="center" wrapText="1"/>
    </xf>
    <xf numFmtId="0" fontId="11" fillId="12" borderId="16" xfId="13" applyNumberFormat="1" applyFont="1" applyFill="1" applyBorder="1" applyAlignment="1">
      <alignment horizontal="center" wrapText="1"/>
    </xf>
    <xf numFmtId="0" fontId="11" fillId="12" borderId="17" xfId="13" applyNumberFormat="1" applyFont="1" applyFill="1" applyBorder="1" applyAlignment="1">
      <alignment horizontal="center" wrapText="1"/>
    </xf>
    <xf numFmtId="0" fontId="11" fillId="12" borderId="5" xfId="13" applyNumberFormat="1" applyFont="1" applyFill="1" applyBorder="1" applyAlignment="1">
      <alignment horizontal="center" wrapText="1"/>
    </xf>
    <xf numFmtId="0" fontId="8" fillId="12" borderId="6" xfId="13" applyNumberFormat="1" applyFont="1" applyFill="1" applyBorder="1" applyAlignment="1">
      <alignment horizontal="center" vertical="center" wrapText="1"/>
    </xf>
    <xf numFmtId="0" fontId="8" fillId="12" borderId="7" xfId="13" applyNumberFormat="1" applyFont="1" applyFill="1" applyBorder="1" applyAlignment="1">
      <alignment horizontal="center" vertical="center" wrapText="1"/>
    </xf>
    <xf numFmtId="0" fontId="8" fillId="12" borderId="8" xfId="13" applyNumberFormat="1" applyFont="1" applyFill="1" applyBorder="1" applyAlignment="1">
      <alignment horizontal="center" vertical="center" wrapText="1"/>
    </xf>
    <xf numFmtId="0" fontId="8" fillId="12" borderId="14" xfId="13" applyNumberFormat="1" applyFont="1" applyFill="1" applyBorder="1" applyAlignment="1">
      <alignment horizontal="center" vertical="center" wrapText="1"/>
    </xf>
    <xf numFmtId="0" fontId="8" fillId="12" borderId="4" xfId="13" applyNumberFormat="1" applyFont="1" applyFill="1" applyBorder="1" applyAlignment="1">
      <alignment horizontal="center" vertical="center" wrapText="1"/>
    </xf>
    <xf numFmtId="0" fontId="8" fillId="12" borderId="15" xfId="13" applyNumberFormat="1" applyFont="1" applyFill="1" applyBorder="1" applyAlignment="1">
      <alignment horizontal="center" vertical="center" wrapText="1"/>
    </xf>
    <xf numFmtId="0" fontId="9" fillId="13" borderId="9" xfId="0" applyFont="1" applyFill="1" applyBorder="1" applyAlignment="1">
      <alignment horizontal="center"/>
    </xf>
    <xf numFmtId="0" fontId="9" fillId="13" borderId="18" xfId="0" applyFont="1" applyFill="1" applyBorder="1" applyAlignment="1">
      <alignment horizontal="center"/>
    </xf>
    <xf numFmtId="0" fontId="8" fillId="12" borderId="11" xfId="13" applyNumberFormat="1" applyFont="1" applyFill="1" applyBorder="1" applyAlignment="1">
      <alignment horizontal="center" vertical="center" wrapText="1"/>
    </xf>
    <xf numFmtId="0" fontId="8" fillId="12" borderId="12" xfId="13" applyNumberFormat="1" applyFont="1" applyFill="1" applyBorder="1" applyAlignment="1">
      <alignment horizontal="center" vertical="center" wrapText="1"/>
    </xf>
    <xf numFmtId="0" fontId="8" fillId="12" borderId="13" xfId="13" applyNumberFormat="1" applyFont="1" applyFill="1" applyBorder="1" applyAlignment="1">
      <alignment horizontal="center" vertical="center" wrapText="1"/>
    </xf>
    <xf numFmtId="0" fontId="8" fillId="12" borderId="1" xfId="13" applyNumberFormat="1" applyFont="1" applyFill="1" applyBorder="1" applyAlignment="1">
      <alignment horizontal="center" vertical="center" wrapText="1"/>
    </xf>
  </cellXfs>
  <cellStyles count="18">
    <cellStyle name="Accent3 - 60% 3" xfId="13" xr:uid="{BD88AC6F-918B-4885-AC7A-99A7DAC64492}"/>
    <cellStyle name="Migliaia" xfId="1" builtinId="3"/>
    <cellStyle name="Migliaia 10" xfId="14" xr:uid="{BA831E8E-A28B-4137-8FD3-DA59080ABE29}"/>
    <cellStyle name="Normale" xfId="0" builtinId="0"/>
    <cellStyle name="Normale 22 2" xfId="15" xr:uid="{B696E60A-E290-4AC5-A4BE-54E3CD747A5B}"/>
    <cellStyle name="Normale 3" xfId="16" xr:uid="{9976E69A-B5BA-497D-A9CF-BA6FDAB7EC12}"/>
    <cellStyle name="Normale 9" xfId="3" xr:uid="{A5E6F534-5AFB-4183-ADFA-77D49C70838E}"/>
    <cellStyle name="Percentuale" xfId="2" builtinId="5"/>
    <cellStyle name="SAPBEXaggData" xfId="10" xr:uid="{8F90EA90-E306-4366-8B22-69445E803BBE}"/>
    <cellStyle name="SAPBEXaggItem" xfId="6" xr:uid="{84D7D203-12F1-494C-A5EF-B3D48C817C38}"/>
    <cellStyle name="SAPBEXchaText" xfId="5" xr:uid="{4F95E9CF-2333-49FE-AD85-874B747890AC}"/>
    <cellStyle name="SAPBEXHLevel0" xfId="12" xr:uid="{63F07697-8982-455B-9477-95D84590BF05}"/>
    <cellStyle name="SAPBEXHLevel0X" xfId="7" xr:uid="{3A66B2C6-7B11-49C4-9ECC-AAB17638440C}"/>
    <cellStyle name="SAPBEXHLevel1X" xfId="8" xr:uid="{1E59B34D-B30D-4590-8909-F1A08E4A8CE4}"/>
    <cellStyle name="SAPBEXstdData" xfId="11" xr:uid="{668D4458-F759-4963-B320-E8CA2308C69E}"/>
    <cellStyle name="SAPBEXstdItem" xfId="9" xr:uid="{C45612AD-4E82-4B6A-ACF5-4224AE91295F}"/>
    <cellStyle name="Valuta 2" xfId="17" xr:uid="{1CF449CB-D502-4CCE-B887-69E21DC2B756}"/>
    <cellStyle name="Valuta 51" xfId="4" xr:uid="{C646DF82-29B3-453C-B043-73F6A7C2B2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Budget%202024\ALL.%201\ALL%201%20-%20Budget%202024%20%20MIU%20GEO%20Agg%20OB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genda"/>
      <sheetName val="All.Ricavi"/>
      <sheetName val="Appoggio"/>
      <sheetName val="Mapping DF - OFFERLINE"/>
      <sheetName val="OFFER-SOLUTION"/>
      <sheetName val="Mapping - AU Customer Aggregate"/>
      <sheetName val=" Check BDG "/>
      <sheetName val="P&amp;L Sintetico"/>
      <sheetName val="P&amp;L Dettagliato"/>
      <sheetName val="AU OIL&amp;GAS"/>
      <sheetName val="AU ENERGY"/>
      <sheetName val="Direzione"/>
      <sheetName val="Costi Commerciali"/>
      <sheetName val="Dettaglio struttura commerciale"/>
      <sheetName val="Organico 30.09 "/>
      <sheetName val="Costi Standard 2024"/>
      <sheetName val="AN. INCR. COSTO STD 2024 AGG"/>
      <sheetName val="PCP SuppCommO&amp;G"/>
      <sheetName val="PCP SuppCommENERGY"/>
      <sheetName val="Gare 2024 AU O&amp;G"/>
      <sheetName val="Gare 2024 AU ENERGY"/>
      <sheetName val="ACQUISTI EPM"/>
      <sheetName val="Logica Calendario di Fabbrica"/>
    </sheetNames>
    <sheetDataSet>
      <sheetData sheetId="0"/>
      <sheetData sheetId="1"/>
      <sheetData sheetId="2"/>
      <sheetData sheetId="3"/>
      <sheetData sheetId="4">
        <row r="44">
          <cell r="M44" t="str">
            <v>Solution12</v>
          </cell>
        </row>
        <row r="45">
          <cell r="M45" t="str">
            <v>Other</v>
          </cell>
          <cell r="BZ45" t="str">
            <v>Multiple Technologies</v>
          </cell>
        </row>
        <row r="46">
          <cell r="M46" t="str">
            <v>SAP BRIM (Billing &amp; Revenue Management)</v>
          </cell>
          <cell r="BZ46" t="str">
            <v>Other</v>
          </cell>
        </row>
        <row r="47">
          <cell r="M47" t="str">
            <v>SAP IS-U Billing &amp; Invoicing</v>
          </cell>
        </row>
      </sheetData>
      <sheetData sheetId="5"/>
      <sheetData sheetId="6"/>
      <sheetData sheetId="7"/>
      <sheetData sheetId="8"/>
      <sheetData sheetId="9">
        <row r="6">
          <cell r="E6">
            <v>906688.10333333327</v>
          </cell>
        </row>
      </sheetData>
      <sheetData sheetId="10">
        <row r="6">
          <cell r="E6">
            <v>511165.28916666668</v>
          </cell>
        </row>
      </sheetData>
      <sheetData sheetId="11">
        <row r="6">
          <cell r="E6"/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DEC3C-8CBC-4431-B244-D7B240BB2541}">
  <sheetPr codeName="Foglio1">
    <tabColor rgb="FFFFFF00"/>
  </sheetPr>
  <dimension ref="A1:DK5"/>
  <sheetViews>
    <sheetView showGridLines="0" tabSelected="1" zoomScale="80" zoomScaleNormal="80" workbookViewId="0">
      <pane ySplit="1" topLeftCell="A2" activePane="bottomLeft" state="frozen"/>
      <selection activeCell="CJ1" sqref="CJ1"/>
      <selection pane="bottomLeft" activeCell="B12" sqref="B12"/>
    </sheetView>
  </sheetViews>
  <sheetFormatPr defaultColWidth="8.7109375" defaultRowHeight="15" outlineLevelCol="1" x14ac:dyDescent="0.25"/>
  <cols>
    <col min="1" max="1" width="15.42578125" customWidth="1"/>
    <col min="2" max="2" width="21.140625" bestFit="1" customWidth="1"/>
    <col min="3" max="3" width="13.7109375" customWidth="1"/>
    <col min="4" max="4" width="13" customWidth="1"/>
    <col min="5" max="5" width="26.42578125" customWidth="1"/>
    <col min="6" max="6" width="31.5703125" bestFit="1" customWidth="1"/>
    <col min="7" max="7" width="10.28515625" customWidth="1"/>
    <col min="8" max="8" width="18.140625" customWidth="1"/>
    <col min="9" max="9" width="21.85546875" customWidth="1"/>
    <col min="10" max="10" width="16.140625" customWidth="1"/>
    <col min="11" max="11" width="16.7109375" customWidth="1"/>
    <col min="12" max="12" width="10.42578125" customWidth="1"/>
    <col min="13" max="13" width="36" customWidth="1"/>
    <col min="14" max="14" width="19.7109375" customWidth="1"/>
    <col min="15" max="15" width="17.28515625" customWidth="1"/>
    <col min="16" max="17" width="20.28515625" customWidth="1"/>
    <col min="18" max="18" width="16.5703125" customWidth="1"/>
    <col min="19" max="19" width="14.7109375" customWidth="1"/>
    <col min="20" max="20" width="15" customWidth="1"/>
    <col min="21" max="21" width="17" customWidth="1"/>
    <col min="22" max="22" width="15.140625" customWidth="1"/>
    <col min="23" max="23" width="17.140625" customWidth="1"/>
    <col min="24" max="25" width="17.28515625" customWidth="1"/>
    <col min="26" max="26" width="17.85546875" customWidth="1"/>
    <col min="27" max="27" width="15.7109375" customWidth="1"/>
    <col min="28" max="28" width="17.28515625" customWidth="1"/>
    <col min="29" max="29" width="16.7109375" customWidth="1"/>
    <col min="30" max="30" width="18.7109375" customWidth="1"/>
    <col min="31" max="31" width="15.28515625" customWidth="1" outlineLevel="1"/>
    <col min="32" max="34" width="15.7109375" customWidth="1" outlineLevel="1"/>
    <col min="35" max="37" width="15.28515625" customWidth="1" outlineLevel="1"/>
    <col min="38" max="38" width="14.85546875" customWidth="1" outlineLevel="1"/>
    <col min="39" max="41" width="15.28515625" customWidth="1" outlineLevel="1"/>
    <col min="42" max="42" width="15.7109375" customWidth="1" outlineLevel="1"/>
    <col min="43" max="43" width="17.42578125" bestFit="1" customWidth="1"/>
    <col min="44" max="44" width="14.85546875" customWidth="1" outlineLevel="1"/>
    <col min="45" max="45" width="13.42578125" customWidth="1" outlineLevel="1"/>
    <col min="46" max="46" width="13" customWidth="1" outlineLevel="1"/>
    <col min="47" max="47" width="12.42578125" customWidth="1" outlineLevel="1"/>
    <col min="48" max="50" width="13" customWidth="1" outlineLevel="1"/>
    <col min="51" max="51" width="12.42578125" customWidth="1" outlineLevel="1"/>
    <col min="52" max="52" width="13" customWidth="1" outlineLevel="1"/>
    <col min="53" max="53" width="13.42578125" customWidth="1" outlineLevel="1"/>
    <col min="54" max="55" width="13" customWidth="1" outlineLevel="1"/>
    <col min="56" max="56" width="15.42578125" bestFit="1" customWidth="1"/>
    <col min="57" max="57" width="15.28515625" customWidth="1" outlineLevel="1"/>
    <col min="58" max="60" width="15.7109375" customWidth="1" outlineLevel="1"/>
    <col min="61" max="61" width="14.85546875" customWidth="1" outlineLevel="1"/>
    <col min="62" max="62" width="15.28515625" customWidth="1" outlineLevel="1"/>
    <col min="63" max="63" width="14.42578125" customWidth="1" outlineLevel="1"/>
    <col min="64" max="64" width="14.42578125" style="17" customWidth="1" outlineLevel="1"/>
    <col min="65" max="68" width="15.28515625" customWidth="1" outlineLevel="1"/>
    <col min="69" max="69" width="17" bestFit="1" customWidth="1"/>
    <col min="70" max="70" width="11.42578125" customWidth="1" outlineLevel="1"/>
    <col min="71" max="71" width="11" customWidth="1" outlineLevel="1"/>
    <col min="72" max="72" width="11.42578125" customWidth="1" outlineLevel="1"/>
    <col min="73" max="73" width="11" customWidth="1" outlineLevel="1"/>
    <col min="74" max="74" width="11.7109375" customWidth="1" outlineLevel="1"/>
    <col min="75" max="75" width="10.7109375" customWidth="1" outlineLevel="1"/>
    <col min="76" max="76" width="14" bestFit="1" customWidth="1" outlineLevel="1"/>
    <col min="77" max="77" width="11.140625" customWidth="1" outlineLevel="1"/>
    <col min="78" max="78" width="15.42578125" bestFit="1" customWidth="1" outlineLevel="1"/>
    <col min="79" max="81" width="14" bestFit="1" customWidth="1" outlineLevel="1"/>
    <col min="82" max="82" width="27.140625" bestFit="1" customWidth="1"/>
    <col min="83" max="83" width="14.42578125" customWidth="1" outlineLevel="1"/>
    <col min="84" max="84" width="13.42578125" customWidth="1" outlineLevel="1"/>
    <col min="85" max="85" width="13" customWidth="1" outlineLevel="1"/>
    <col min="86" max="92" width="13.42578125" customWidth="1" outlineLevel="1"/>
    <col min="93" max="93" width="12" bestFit="1" customWidth="1" outlineLevel="1"/>
    <col min="94" max="94" width="16.7109375" bestFit="1" customWidth="1" outlineLevel="1"/>
    <col min="95" max="95" width="35.28515625" bestFit="1" customWidth="1"/>
    <col min="96" max="96" width="15.28515625" customWidth="1" outlineLevel="1"/>
    <col min="97" max="97" width="14.85546875" customWidth="1" outlineLevel="1"/>
    <col min="98" max="98" width="15.28515625" customWidth="1" outlineLevel="1"/>
    <col min="99" max="101" width="14.42578125" customWidth="1" outlineLevel="1"/>
    <col min="102" max="102" width="14.85546875" customWidth="1" outlineLevel="1"/>
    <col min="103" max="103" width="13.42578125" customWidth="1" outlineLevel="1"/>
    <col min="104" max="107" width="15.28515625" customWidth="1" outlineLevel="1"/>
    <col min="108" max="108" width="17" bestFit="1" customWidth="1"/>
    <col min="109" max="109" width="9" customWidth="1"/>
    <col min="111" max="111" width="16.42578125" bestFit="1" customWidth="1"/>
    <col min="112" max="112" width="15.28515625" bestFit="1" customWidth="1"/>
    <col min="113" max="113" width="15.7109375" bestFit="1" customWidth="1"/>
    <col min="114" max="114" width="14.85546875" bestFit="1" customWidth="1"/>
    <col min="115" max="115" width="17.28515625" bestFit="1" customWidth="1"/>
  </cols>
  <sheetData>
    <row r="1" spans="1:115" s="2" customFormat="1" ht="15.75" thickBot="1" x14ac:dyDescent="0.3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4"/>
      <c r="N1" s="3"/>
      <c r="O1" s="3"/>
      <c r="P1" s="3"/>
      <c r="Q1" s="3"/>
      <c r="R1" s="21">
        <f>SUBTOTAL(9,R5:R5)</f>
        <v>0</v>
      </c>
      <c r="S1" s="3"/>
      <c r="T1" s="3"/>
      <c r="U1" s="3"/>
      <c r="V1" s="21">
        <f>SUBTOTAL(9,V5:V5)</f>
        <v>0</v>
      </c>
      <c r="W1" s="3"/>
      <c r="X1" s="3"/>
      <c r="Y1" s="3"/>
      <c r="Z1" s="3"/>
      <c r="AA1" s="21">
        <f>SUBTOTAL(9,AA5:AA5)</f>
        <v>0</v>
      </c>
      <c r="AB1" s="21">
        <f>SUBTOTAL(9,AB5:AB5)</f>
        <v>0</v>
      </c>
      <c r="AC1" s="21">
        <f>SUBTOTAL(9,AC5:AC5)</f>
        <v>0</v>
      </c>
      <c r="AD1" s="21">
        <f>SUBTOTAL(9,AD5:AD5)</f>
        <v>0</v>
      </c>
      <c r="AE1" s="21">
        <f>SUBTOTAL(9,AE5:AE5)</f>
        <v>0</v>
      </c>
      <c r="AF1" s="21">
        <f>SUBTOTAL(9,AF5:AF5)</f>
        <v>0</v>
      </c>
      <c r="AG1" s="21">
        <f>SUBTOTAL(9,AG5:AG5)</f>
        <v>0</v>
      </c>
      <c r="AH1" s="21">
        <f>SUBTOTAL(9,AH5:AH5)</f>
        <v>0</v>
      </c>
      <c r="AI1" s="21">
        <f>SUBTOTAL(9,AI5:AI5)</f>
        <v>0</v>
      </c>
      <c r="AJ1" s="21">
        <f>SUBTOTAL(9,AJ5:AJ5)</f>
        <v>0</v>
      </c>
      <c r="AK1" s="21">
        <f>SUBTOTAL(9,AK5:AK5)</f>
        <v>0</v>
      </c>
      <c r="AL1" s="21">
        <f>SUBTOTAL(9,AL5:AL5)</f>
        <v>0</v>
      </c>
      <c r="AM1" s="21">
        <f>SUBTOTAL(9,AM5:AM5)</f>
        <v>0</v>
      </c>
      <c r="AN1" s="21">
        <f>SUBTOTAL(9,AN5:AN5)</f>
        <v>0</v>
      </c>
      <c r="AO1" s="21">
        <f>SUBTOTAL(9,AO5:AO5)</f>
        <v>0</v>
      </c>
      <c r="AP1" s="21">
        <f>SUBTOTAL(9,AP5:AP5)</f>
        <v>0</v>
      </c>
      <c r="AQ1" s="21">
        <f>SUBTOTAL(9,AQ5:AQ5)</f>
        <v>0</v>
      </c>
      <c r="AR1" s="21">
        <f>SUBTOTAL(9,AR5:AR5)</f>
        <v>0</v>
      </c>
      <c r="AS1" s="21">
        <f>SUBTOTAL(9,AS5:AS5)</f>
        <v>0</v>
      </c>
      <c r="AT1" s="21">
        <f>SUBTOTAL(9,AT5:AT5)</f>
        <v>0</v>
      </c>
      <c r="AU1" s="21">
        <f>SUBTOTAL(9,AU5:AU5)</f>
        <v>0</v>
      </c>
      <c r="AV1" s="21">
        <f>SUBTOTAL(9,AV5:AV5)</f>
        <v>0</v>
      </c>
      <c r="AW1" s="21">
        <f>SUBTOTAL(9,AW5:AW5)</f>
        <v>0</v>
      </c>
      <c r="AX1" s="21">
        <f>SUBTOTAL(9,AX5:AX5)</f>
        <v>0</v>
      </c>
      <c r="AY1" s="21">
        <f>SUBTOTAL(9,AY5:AY5)</f>
        <v>0</v>
      </c>
      <c r="AZ1" s="21">
        <f>SUBTOTAL(9,AZ5:AZ5)</f>
        <v>0</v>
      </c>
      <c r="BA1" s="21">
        <f>SUBTOTAL(9,BA5:BA5)</f>
        <v>0</v>
      </c>
      <c r="BB1" s="21">
        <f>SUBTOTAL(9,BB5:BB5)</f>
        <v>0</v>
      </c>
      <c r="BC1" s="21">
        <f>SUBTOTAL(9,BC5:BC5)</f>
        <v>0</v>
      </c>
      <c r="BD1" s="21">
        <f>SUBTOTAL(9,BD5:BD5)</f>
        <v>0</v>
      </c>
      <c r="BE1" s="21">
        <f>SUBTOTAL(9,BE5:BE5)</f>
        <v>0</v>
      </c>
      <c r="BF1" s="21">
        <f>SUBTOTAL(9,BF5:BF5)</f>
        <v>0</v>
      </c>
      <c r="BG1" s="21">
        <f>SUBTOTAL(9,BG5:BG5)</f>
        <v>0</v>
      </c>
      <c r="BH1" s="21">
        <f>SUBTOTAL(9,BH5:BH5)</f>
        <v>0</v>
      </c>
      <c r="BI1" s="21">
        <f>SUBTOTAL(9,BI5:BI5)</f>
        <v>0</v>
      </c>
      <c r="BJ1" s="21">
        <f>SUBTOTAL(9,BJ5:BJ5)</f>
        <v>0</v>
      </c>
      <c r="BK1" s="21">
        <f>SUBTOTAL(9,BK5:BK5)</f>
        <v>0</v>
      </c>
      <c r="BL1" s="21">
        <f>SUBTOTAL(9,BL5:BL5)</f>
        <v>0</v>
      </c>
      <c r="BM1" s="21">
        <f>SUBTOTAL(9,BM5:BM5)</f>
        <v>0</v>
      </c>
      <c r="BN1" s="21">
        <f>SUBTOTAL(9,BN5:BN5)</f>
        <v>0</v>
      </c>
      <c r="BO1" s="21">
        <f>SUBTOTAL(9,BO5:BO5)</f>
        <v>0</v>
      </c>
      <c r="BP1" s="21">
        <f>SUBTOTAL(9,BP5:BP5)</f>
        <v>0</v>
      </c>
      <c r="BQ1" s="21">
        <f>SUBTOTAL(9,BQ5:BQ5)</f>
        <v>0</v>
      </c>
      <c r="BR1" s="22">
        <f>IF(BE1=0,0,CE1/BE1)</f>
        <v>0</v>
      </c>
      <c r="BS1" s="22">
        <f>IF(BF1=0,0,CF1/BF1)</f>
        <v>0</v>
      </c>
      <c r="BT1" s="22">
        <f>IF(BG1=0,0,CG1/BG1)</f>
        <v>0</v>
      </c>
      <c r="BU1" s="22">
        <f>IF(BH1=0,0,CH1/BH1)</f>
        <v>0</v>
      </c>
      <c r="BV1" s="22">
        <f>IF(BI1=0,0,CI1/BI1)</f>
        <v>0</v>
      </c>
      <c r="BW1" s="22">
        <f>IF(BJ1=0,0,CJ1/BJ1)</f>
        <v>0</v>
      </c>
      <c r="BX1" s="22">
        <f>IF(BK1=0,0,CK1/BK1)</f>
        <v>0</v>
      </c>
      <c r="BY1" s="22">
        <f>IF(BL1=0,0,CL1/BL1)</f>
        <v>0</v>
      </c>
      <c r="BZ1" s="22">
        <f>IF(BM1=0,0,CM1/BM1)</f>
        <v>0</v>
      </c>
      <c r="CA1" s="22">
        <f>IF(BN1=0,0,CN1/BN1)</f>
        <v>0</v>
      </c>
      <c r="CB1" s="22">
        <f>IF(BO1=0,0,CO1/BO1)</f>
        <v>0</v>
      </c>
      <c r="CC1" s="22">
        <f>IF(BP1=0,0,CP1/BP1)</f>
        <v>0</v>
      </c>
      <c r="CD1" s="23">
        <f>IF(BQ1=0,0,CQ1/BQ1)</f>
        <v>0</v>
      </c>
      <c r="CE1" s="21">
        <f>SUBTOTAL(9,CE5:CE5)</f>
        <v>0</v>
      </c>
      <c r="CF1" s="21">
        <f>SUBTOTAL(9,CF5:CF5)</f>
        <v>0</v>
      </c>
      <c r="CG1" s="21">
        <f>SUBTOTAL(9,CG5:CG5)</f>
        <v>0</v>
      </c>
      <c r="CH1" s="21">
        <f>SUBTOTAL(9,CH5:CH5)</f>
        <v>0</v>
      </c>
      <c r="CI1" s="21">
        <f>SUBTOTAL(9,CI5:CI5)</f>
        <v>0</v>
      </c>
      <c r="CJ1" s="21">
        <f>SUBTOTAL(9,CJ5:CJ5)</f>
        <v>0</v>
      </c>
      <c r="CK1" s="21">
        <f>SUBTOTAL(9,CK5:CK5)</f>
        <v>0</v>
      </c>
      <c r="CL1" s="21">
        <f>SUBTOTAL(9,CL5:CL5)</f>
        <v>0</v>
      </c>
      <c r="CM1" s="21">
        <f>SUBTOTAL(9,CM5:CM5)</f>
        <v>0</v>
      </c>
      <c r="CN1" s="21">
        <f>SUBTOTAL(9,CN5:CN5)</f>
        <v>0</v>
      </c>
      <c r="CO1" s="21">
        <f>SUBTOTAL(9,CO5:CO5)</f>
        <v>0</v>
      </c>
      <c r="CP1" s="21">
        <f>SUBTOTAL(9,CP5:CP5)</f>
        <v>0</v>
      </c>
      <c r="CQ1" s="21">
        <f>SUBTOTAL(9,CQ5:CQ5)</f>
        <v>0</v>
      </c>
      <c r="CR1" s="21">
        <f>SUBTOTAL(9,CR5:CR5)</f>
        <v>0</v>
      </c>
      <c r="CS1" s="21">
        <f>SUBTOTAL(9,CS5:CS5)</f>
        <v>0</v>
      </c>
      <c r="CT1" s="21">
        <f>SUBTOTAL(9,CT5:CT5)</f>
        <v>0</v>
      </c>
      <c r="CU1" s="21">
        <f>SUBTOTAL(9,CU5:CU5)</f>
        <v>0</v>
      </c>
      <c r="CV1" s="21">
        <f>SUBTOTAL(9,CV5:CV5)</f>
        <v>0</v>
      </c>
      <c r="CW1" s="21">
        <f>SUBTOTAL(9,CW5:CW5)</f>
        <v>0</v>
      </c>
      <c r="CX1" s="21">
        <f>SUBTOTAL(9,CX5:CX5)</f>
        <v>0</v>
      </c>
      <c r="CY1" s="21">
        <f>SUBTOTAL(9,CY5:CY5)</f>
        <v>0</v>
      </c>
      <c r="CZ1" s="21">
        <f>SUBTOTAL(9,CZ5:CZ5)</f>
        <v>0</v>
      </c>
      <c r="DA1" s="21">
        <f>SUBTOTAL(9,DA5:DA5)</f>
        <v>0</v>
      </c>
      <c r="DB1" s="21">
        <f>SUBTOTAL(9,DB5:DB5)</f>
        <v>0</v>
      </c>
      <c r="DC1" s="21">
        <f>SUBTOTAL(9,DC5:DC5)</f>
        <v>0</v>
      </c>
      <c r="DD1" s="21">
        <f>SUBTOTAL(9,DD5:DD5)</f>
        <v>0</v>
      </c>
      <c r="DG1" s="21">
        <f>SUBTOTAL(9,DG5:DG5)</f>
        <v>0</v>
      </c>
      <c r="DH1" s="21">
        <f>SUBTOTAL(9,DH5:DH5)</f>
        <v>0</v>
      </c>
      <c r="DI1" s="21">
        <f>SUBTOTAL(9,DI5:DI5)</f>
        <v>0</v>
      </c>
      <c r="DJ1" s="21">
        <f>SUBTOTAL(9,DJ5:DJ5)</f>
        <v>0</v>
      </c>
      <c r="DK1" s="21">
        <f>SUBTOTAL(9,DK5:DK5)</f>
        <v>0</v>
      </c>
    </row>
    <row r="2" spans="1:115" ht="17.25" x14ac:dyDescent="0.3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5"/>
      <c r="N2" s="1"/>
      <c r="O2" s="1"/>
      <c r="P2" s="1"/>
      <c r="Q2" s="1"/>
      <c r="R2" s="1"/>
      <c r="S2" s="1"/>
      <c r="T2" s="1"/>
      <c r="U2" s="1"/>
      <c r="V2" s="1"/>
      <c r="W2" s="1"/>
      <c r="X2" s="16"/>
      <c r="Y2" s="16"/>
      <c r="Z2" s="16"/>
      <c r="AA2" s="16"/>
      <c r="AB2" s="1"/>
      <c r="AC2" s="1"/>
      <c r="AD2" s="1"/>
      <c r="AE2" s="41" t="s">
        <v>0</v>
      </c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3"/>
      <c r="AR2" s="47" t="s">
        <v>8</v>
      </c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35" t="s">
        <v>1</v>
      </c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7"/>
      <c r="BR2" s="49" t="s">
        <v>9</v>
      </c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1"/>
      <c r="CE2" s="35" t="s">
        <v>2</v>
      </c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52"/>
      <c r="CR2" s="35" t="s">
        <v>3</v>
      </c>
      <c r="CS2" s="36"/>
      <c r="CT2" s="36"/>
      <c r="CU2" s="36"/>
      <c r="CV2" s="36"/>
      <c r="CW2" s="36"/>
      <c r="CX2" s="36"/>
      <c r="CY2" s="36"/>
      <c r="CZ2" s="36"/>
      <c r="DA2" s="36"/>
      <c r="DB2" s="36"/>
      <c r="DC2" s="36"/>
      <c r="DD2" s="37"/>
    </row>
    <row r="3" spans="1:115" s="7" customFormat="1" ht="36.75" customHeight="1" x14ac:dyDescent="0.3">
      <c r="B3" s="6"/>
      <c r="C3" s="6"/>
      <c r="D3" s="1"/>
      <c r="E3" s="1"/>
      <c r="F3" s="1"/>
      <c r="G3" s="6"/>
      <c r="H3" s="1"/>
      <c r="I3" s="6"/>
      <c r="J3" s="6"/>
      <c r="K3" s="6"/>
      <c r="L3" s="1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6"/>
      <c r="AR3" s="38" t="s">
        <v>54</v>
      </c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40"/>
      <c r="BE3" s="35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7"/>
      <c r="BR3" s="35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52"/>
      <c r="CE3" s="35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52"/>
      <c r="CR3" s="35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7"/>
    </row>
    <row r="4" spans="1:115" s="8" customFormat="1" ht="47.25" customHeight="1" x14ac:dyDescent="0.25">
      <c r="A4" s="19" t="s">
        <v>52</v>
      </c>
      <c r="B4" s="19" t="s">
        <v>10</v>
      </c>
      <c r="C4" s="19" t="s">
        <v>4</v>
      </c>
      <c r="D4" s="19" t="s">
        <v>11</v>
      </c>
      <c r="E4" s="19" t="s">
        <v>12</v>
      </c>
      <c r="F4" s="19" t="s">
        <v>13</v>
      </c>
      <c r="G4" s="19" t="s">
        <v>5</v>
      </c>
      <c r="H4" s="19" t="s">
        <v>14</v>
      </c>
      <c r="I4" s="20" t="s">
        <v>15</v>
      </c>
      <c r="J4" s="19" t="s">
        <v>16</v>
      </c>
      <c r="K4" s="19" t="s">
        <v>6</v>
      </c>
      <c r="L4" s="19" t="s">
        <v>17</v>
      </c>
      <c r="M4" s="19" t="s">
        <v>7</v>
      </c>
      <c r="N4" s="19" t="s">
        <v>18</v>
      </c>
      <c r="O4" s="19" t="s">
        <v>19</v>
      </c>
      <c r="P4" s="19" t="s">
        <v>47</v>
      </c>
      <c r="Q4" s="19" t="s">
        <v>53</v>
      </c>
      <c r="R4" s="19" t="s">
        <v>49</v>
      </c>
      <c r="S4" s="19" t="s">
        <v>50</v>
      </c>
      <c r="T4" s="19" t="s">
        <v>51</v>
      </c>
      <c r="U4" s="19" t="s">
        <v>45</v>
      </c>
      <c r="V4" s="19" t="s">
        <v>46</v>
      </c>
      <c r="W4" s="19" t="s">
        <v>20</v>
      </c>
      <c r="X4" s="19" t="s">
        <v>21</v>
      </c>
      <c r="Y4" s="19" t="s">
        <v>57</v>
      </c>
      <c r="Z4" s="19" t="s">
        <v>56</v>
      </c>
      <c r="AA4" s="19" t="s">
        <v>55</v>
      </c>
      <c r="AB4" s="19" t="s">
        <v>48</v>
      </c>
      <c r="AC4" s="20" t="s">
        <v>22</v>
      </c>
      <c r="AD4" s="20" t="s">
        <v>23</v>
      </c>
      <c r="AE4" s="19" t="s">
        <v>24</v>
      </c>
      <c r="AF4" s="19" t="s">
        <v>25</v>
      </c>
      <c r="AG4" s="19" t="s">
        <v>26</v>
      </c>
      <c r="AH4" s="19" t="s">
        <v>27</v>
      </c>
      <c r="AI4" s="19" t="s">
        <v>28</v>
      </c>
      <c r="AJ4" s="19" t="s">
        <v>29</v>
      </c>
      <c r="AK4" s="19" t="s">
        <v>30</v>
      </c>
      <c r="AL4" s="19" t="s">
        <v>31</v>
      </c>
      <c r="AM4" s="19" t="s">
        <v>32</v>
      </c>
      <c r="AN4" s="19" t="s">
        <v>33</v>
      </c>
      <c r="AO4" s="19" t="s">
        <v>34</v>
      </c>
      <c r="AP4" s="19" t="s">
        <v>35</v>
      </c>
      <c r="AQ4" s="19" t="s">
        <v>36</v>
      </c>
      <c r="AR4" s="19" t="s">
        <v>24</v>
      </c>
      <c r="AS4" s="19" t="s">
        <v>25</v>
      </c>
      <c r="AT4" s="19" t="s">
        <v>26</v>
      </c>
      <c r="AU4" s="19" t="s">
        <v>27</v>
      </c>
      <c r="AV4" s="19" t="s">
        <v>28</v>
      </c>
      <c r="AW4" s="19" t="s">
        <v>29</v>
      </c>
      <c r="AX4" s="19" t="s">
        <v>30</v>
      </c>
      <c r="AY4" s="19" t="s">
        <v>31</v>
      </c>
      <c r="AZ4" s="19" t="s">
        <v>37</v>
      </c>
      <c r="BA4" s="19" t="s">
        <v>33</v>
      </c>
      <c r="BB4" s="19" t="s">
        <v>34</v>
      </c>
      <c r="BC4" s="19" t="s">
        <v>35</v>
      </c>
      <c r="BD4" s="19" t="s">
        <v>36</v>
      </c>
      <c r="BE4" s="19" t="s">
        <v>24</v>
      </c>
      <c r="BF4" s="19" t="s">
        <v>25</v>
      </c>
      <c r="BG4" s="19" t="s">
        <v>26</v>
      </c>
      <c r="BH4" s="19" t="s">
        <v>27</v>
      </c>
      <c r="BI4" s="19" t="s">
        <v>28</v>
      </c>
      <c r="BJ4" s="19" t="s">
        <v>29</v>
      </c>
      <c r="BK4" s="19" t="s">
        <v>30</v>
      </c>
      <c r="BL4" s="19" t="s">
        <v>31</v>
      </c>
      <c r="BM4" s="19" t="s">
        <v>37</v>
      </c>
      <c r="BN4" s="19" t="s">
        <v>33</v>
      </c>
      <c r="BO4" s="19" t="s">
        <v>34</v>
      </c>
      <c r="BP4" s="19" t="s">
        <v>35</v>
      </c>
      <c r="BQ4" s="19" t="s">
        <v>36</v>
      </c>
      <c r="BR4" s="19" t="s">
        <v>24</v>
      </c>
      <c r="BS4" s="19" t="s">
        <v>25</v>
      </c>
      <c r="BT4" s="19" t="s">
        <v>26</v>
      </c>
      <c r="BU4" s="19" t="s">
        <v>27</v>
      </c>
      <c r="BV4" s="19" t="s">
        <v>28</v>
      </c>
      <c r="BW4" s="19" t="s">
        <v>29</v>
      </c>
      <c r="BX4" s="19" t="s">
        <v>30</v>
      </c>
      <c r="BY4" s="19" t="s">
        <v>31</v>
      </c>
      <c r="BZ4" s="19" t="s">
        <v>37</v>
      </c>
      <c r="CA4" s="19" t="s">
        <v>33</v>
      </c>
      <c r="CB4" s="19" t="s">
        <v>34</v>
      </c>
      <c r="CC4" s="19" t="s">
        <v>35</v>
      </c>
      <c r="CD4" s="19" t="s">
        <v>38</v>
      </c>
      <c r="CE4" s="19" t="s">
        <v>24</v>
      </c>
      <c r="CF4" s="19" t="s">
        <v>25</v>
      </c>
      <c r="CG4" s="19" t="s">
        <v>26</v>
      </c>
      <c r="CH4" s="19" t="s">
        <v>27</v>
      </c>
      <c r="CI4" s="19" t="s">
        <v>28</v>
      </c>
      <c r="CJ4" s="19" t="s">
        <v>29</v>
      </c>
      <c r="CK4" s="19" t="s">
        <v>30</v>
      </c>
      <c r="CL4" s="19" t="s">
        <v>31</v>
      </c>
      <c r="CM4" s="19" t="s">
        <v>32</v>
      </c>
      <c r="CN4" s="19" t="s">
        <v>33</v>
      </c>
      <c r="CO4" s="19" t="s">
        <v>34</v>
      </c>
      <c r="CP4" s="19" t="s">
        <v>35</v>
      </c>
      <c r="CQ4" s="19" t="s">
        <v>36</v>
      </c>
      <c r="CR4" s="19" t="s">
        <v>24</v>
      </c>
      <c r="CS4" s="19" t="s">
        <v>25</v>
      </c>
      <c r="CT4" s="19" t="s">
        <v>26</v>
      </c>
      <c r="CU4" s="19" t="s">
        <v>27</v>
      </c>
      <c r="CV4" s="19" t="s">
        <v>28</v>
      </c>
      <c r="CW4" s="19" t="s">
        <v>29</v>
      </c>
      <c r="CX4" s="19" t="s">
        <v>30</v>
      </c>
      <c r="CY4" s="19" t="s">
        <v>31</v>
      </c>
      <c r="CZ4" s="19" t="s">
        <v>32</v>
      </c>
      <c r="DA4" s="19" t="s">
        <v>33</v>
      </c>
      <c r="DB4" s="19" t="s">
        <v>34</v>
      </c>
      <c r="DC4" s="19" t="s">
        <v>35</v>
      </c>
      <c r="DD4" s="19" t="s">
        <v>36</v>
      </c>
      <c r="DE4" s="19" t="s">
        <v>39</v>
      </c>
      <c r="DG4" s="18" t="s">
        <v>40</v>
      </c>
      <c r="DH4" s="18" t="s">
        <v>41</v>
      </c>
      <c r="DI4" s="18" t="s">
        <v>42</v>
      </c>
      <c r="DJ4" s="18" t="s">
        <v>43</v>
      </c>
      <c r="DK4" s="18" t="s">
        <v>44</v>
      </c>
    </row>
    <row r="5" spans="1:115" ht="14.65" customHeight="1" x14ac:dyDescent="0.25">
      <c r="A5" s="10"/>
      <c r="B5" s="10"/>
      <c r="C5" s="10"/>
      <c r="D5" s="10"/>
      <c r="E5" s="10"/>
      <c r="F5" s="10"/>
      <c r="G5" s="10"/>
      <c r="H5" s="10"/>
      <c r="I5" s="11"/>
      <c r="J5" s="12"/>
      <c r="K5" s="10"/>
      <c r="L5" s="10"/>
      <c r="M5" s="10"/>
      <c r="N5" s="10"/>
      <c r="O5" s="10"/>
      <c r="P5" s="9"/>
      <c r="Q5" s="9"/>
      <c r="R5" s="25"/>
      <c r="S5" s="9"/>
      <c r="T5" s="9"/>
      <c r="U5" s="26"/>
      <c r="V5" s="27"/>
      <c r="W5" s="13"/>
      <c r="X5" s="14"/>
      <c r="Y5" s="27"/>
      <c r="Z5" s="34"/>
      <c r="AA5" s="27"/>
      <c r="AB5" s="27"/>
      <c r="AC5" s="27"/>
      <c r="AD5" s="27"/>
      <c r="AE5" s="28"/>
      <c r="AF5" s="28"/>
      <c r="AG5" s="28"/>
      <c r="AH5" s="28"/>
      <c r="AI5" s="28"/>
      <c r="AJ5" s="28"/>
      <c r="AK5" s="24"/>
      <c r="AL5" s="24"/>
      <c r="AM5" s="24"/>
      <c r="AN5" s="28"/>
      <c r="AO5" s="28"/>
      <c r="AP5" s="28"/>
      <c r="AQ5" s="27"/>
      <c r="AR5" s="28"/>
      <c r="AS5" s="28"/>
      <c r="AT5" s="33"/>
      <c r="AU5" s="28"/>
      <c r="AV5" s="28"/>
      <c r="AW5" s="28"/>
      <c r="AX5" s="24"/>
      <c r="AY5" s="24"/>
      <c r="AZ5" s="24"/>
      <c r="BA5" s="28"/>
      <c r="BB5" s="28"/>
      <c r="BC5" s="28"/>
      <c r="BD5" s="27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  <c r="CD5" s="32"/>
      <c r="CE5" s="29"/>
      <c r="CF5" s="29"/>
      <c r="CG5" s="29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15"/>
      <c r="CU5" s="15"/>
      <c r="CV5" s="15"/>
      <c r="CW5" s="15"/>
      <c r="CX5" s="15"/>
      <c r="CY5" s="15"/>
      <c r="CZ5" s="15"/>
      <c r="DA5" s="29"/>
      <c r="DB5" s="29"/>
      <c r="DC5" s="29"/>
      <c r="DD5" s="29"/>
      <c r="DE5" s="29"/>
      <c r="DG5" s="31"/>
      <c r="DH5" s="31"/>
      <c r="DI5" s="31"/>
      <c r="DJ5" s="31"/>
      <c r="DK5" s="31"/>
    </row>
  </sheetData>
  <mergeCells count="7">
    <mergeCell ref="CR2:DD3"/>
    <mergeCell ref="AR3:BD3"/>
    <mergeCell ref="AE2:AQ3"/>
    <mergeCell ref="AR2:BD2"/>
    <mergeCell ref="BE2:BQ3"/>
    <mergeCell ref="BR2:CD3"/>
    <mergeCell ref="CE2:CQ3"/>
  </mergeCells>
  <phoneticPr fontId="16" type="noConversion"/>
  <pageMargins left="0.7" right="0.7" top="0.75" bottom="0.75" header="0.3" footer="0.3"/>
  <pageSetup paperSize="9" orientation="portrait" r:id="rId1"/>
</worksheet>
</file>

<file path=customUI/customUI.xml><?xml version="1.0" encoding="utf-8"?>
<customUI xmlns="http://schemas.microsoft.com/office/2006/01/customui">
  <ribbon startFromScratch="false">
    <tabs>
      <tab id="TabExprivia" label="Exprivia" insertAfterMso="TabHome">
        <group id="SapAction" label="Exprivia Planning Tool">
          <button id="btnLogon" label="Login" imageMso="Head" size="large" onAction="SAPWorkbook.loadFrmLogin"/>
          <button id="btnDownload" label="Update" imageMso="AccessRefreshAllLists" size="large" onAction="SAPWorkbook.loadFrmDown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FCST CLIENTI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giovanni deluca</dc:creator>
  <cp:lastModifiedBy>Ancler Domenico</cp:lastModifiedBy>
  <dcterms:created xsi:type="dcterms:W3CDTF">2024-02-09T08:35:56Z</dcterms:created>
  <dcterms:modified xsi:type="dcterms:W3CDTF">2025-03-06T14:21:42Z</dcterms:modified>
</cp:coreProperties>
</file>